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\Documents\Uni\Dissertation\"/>
    </mc:Choice>
  </mc:AlternateContent>
  <xr:revisionPtr revIDLastSave="0" documentId="13_ncr:1_{A67C12B6-CCD7-46FA-A737-3FD9B796A190}" xr6:coauthVersionLast="47" xr6:coauthVersionMax="47" xr10:uidLastSave="{00000000-0000-0000-0000-000000000000}"/>
  <bookViews>
    <workbookView xWindow="28680" yWindow="-5910" windowWidth="16440" windowHeight="28440" xr2:uid="{33ED10BB-B306-4035-B760-01E4847BDB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" i="1" l="1"/>
  <c r="F1" i="1"/>
  <c r="G1" i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D25" i="1"/>
  <c r="D26" i="1"/>
  <c r="D27" i="1"/>
  <c r="D28" i="1"/>
  <c r="D29" i="1"/>
  <c r="D30" i="1"/>
  <c r="D24" i="1"/>
  <c r="D23" i="1"/>
  <c r="D22" i="1"/>
  <c r="D21" i="1"/>
  <c r="D20" i="1"/>
  <c r="D10" i="1"/>
  <c r="D2" i="1"/>
  <c r="D3" i="1"/>
  <c r="D4" i="1"/>
  <c r="D6" i="1"/>
  <c r="D7" i="1"/>
  <c r="D8" i="1"/>
  <c r="D9" i="1"/>
  <c r="D11" i="1"/>
  <c r="D12" i="1"/>
  <c r="D13" i="1"/>
  <c r="D14" i="1"/>
  <c r="D15" i="1"/>
  <c r="D16" i="1"/>
  <c r="D17" i="1"/>
  <c r="D18" i="1"/>
  <c r="D19" i="1"/>
</calcChain>
</file>

<file path=xl/sharedStrings.xml><?xml version="1.0" encoding="utf-8"?>
<sst xmlns="http://schemas.openxmlformats.org/spreadsheetml/2006/main" count="32" uniqueCount="28">
  <si>
    <t>Tasks</t>
  </si>
  <si>
    <t>Mandatory Phase</t>
  </si>
  <si>
    <t>Scoping and Planning document</t>
  </si>
  <si>
    <t>Report writing</t>
  </si>
  <si>
    <t>Start Date</t>
  </si>
  <si>
    <t>End Date</t>
  </si>
  <si>
    <t>Number of days</t>
  </si>
  <si>
    <t>Phase 1</t>
  </si>
  <si>
    <t>Background Research</t>
  </si>
  <si>
    <t>Develop Pilot Phase Prediction Methods</t>
  </si>
  <si>
    <t>Analyse and Evaluate Set of Results</t>
  </si>
  <si>
    <t>Phase 2</t>
  </si>
  <si>
    <t>Further Background Research</t>
  </si>
  <si>
    <t>Develop Intermediary Phase Prediction Methods</t>
  </si>
  <si>
    <t>Phase 3</t>
  </si>
  <si>
    <t>Complete Background Research</t>
  </si>
  <si>
    <t>Write Introduction and Background Research</t>
  </si>
  <si>
    <t>Develop Final Phase Prediction Methods</t>
  </si>
  <si>
    <t>Train Algorithm on different completed seasons</t>
  </si>
  <si>
    <t>Test Algorithm on different completed seasons</t>
  </si>
  <si>
    <t>Train Algorithm on same completed seasons as Phase 1</t>
  </si>
  <si>
    <t xml:space="preserve">Test Algorithm on different completed seasons </t>
  </si>
  <si>
    <t>Phase 4</t>
  </si>
  <si>
    <t>Write Methodology</t>
  </si>
  <si>
    <t>Deeper Tests on accuracy of final model</t>
  </si>
  <si>
    <t xml:space="preserve">Write Implementation and Validation </t>
  </si>
  <si>
    <t>Write results and evaluation</t>
  </si>
  <si>
    <t>Final Proofreading and Formatting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</si>
</sst>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14" fontId="0" fillId="2" borderId="0" xfId="0" applyNumberFormat="1" applyFill="1" applyAlignment="1">
      <alignment horizontal="center"/>
    </xf>
    <xf numFmtId="1" fontId="0" fillId="2" borderId="0" xfId="0" applyNumberFormat="1" applyFill="1"/>
    <xf numFmtId="0" fontId="0" fillId="0" borderId="0" xfId="0" applyNumberFormat="1" applyAlignment="1">
      <alignment textRotation="90"/>
    </xf>
    <xf numFmtId="165" fontId="0" fillId="0" borderId="0" xfId="0" applyNumberFormat="1" applyAlignment="1">
      <alignment horizontal="center" textRotation="90"/>
    </xf>
    <xf numFmtId="0" fontId="0" fillId="3" borderId="0" xfId="0" applyNumberFormat="1" applyFill="1" applyAlignment="1">
      <alignment textRotation="90"/>
    </xf>
    <xf numFmtId="0" fontId="0" fillId="3" borderId="0" xfId="0" applyFill="1"/>
    <xf numFmtId="0" fontId="0" fillId="4" borderId="0" xfId="0" applyNumberFormat="1" applyFill="1" applyAlignment="1">
      <alignment textRotation="90"/>
    </xf>
    <xf numFmtId="0" fontId="0" fillId="4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18811-1078-41F9-A34E-8E3F84BC6A25}">
  <dimension ref="A1:S30"/>
  <sheetViews>
    <sheetView tabSelected="1" zoomScaleNormal="100" workbookViewId="0">
      <selection activeCell="C33" sqref="C33"/>
    </sheetView>
  </sheetViews>
  <sheetFormatPr defaultRowHeight="15" x14ac:dyDescent="0.25"/>
  <cols>
    <col min="1" max="1" width="49.7109375" customWidth="1"/>
    <col min="2" max="2" width="13" style="1" customWidth="1"/>
    <col min="3" max="3" width="12.140625" style="1" customWidth="1"/>
    <col min="4" max="4" width="15.85546875" style="5" customWidth="1"/>
    <col min="5" max="5" width="3.7109375" style="8" customWidth="1"/>
    <col min="6" max="6" width="3.7109375" customWidth="1"/>
    <col min="7" max="7" width="4.28515625" customWidth="1"/>
    <col min="8" max="8" width="3.7109375" customWidth="1"/>
    <col min="9" max="9" width="3.42578125" customWidth="1"/>
    <col min="10" max="10" width="2.85546875" customWidth="1"/>
    <col min="11" max="11" width="3.42578125" customWidth="1"/>
    <col min="12" max="12" width="4.42578125" customWidth="1"/>
    <col min="13" max="13" width="4" customWidth="1"/>
    <col min="14" max="14" width="3.28515625" customWidth="1"/>
    <col min="15" max="15" width="4" customWidth="1"/>
    <col min="16" max="16" width="4.28515625" customWidth="1"/>
    <col min="17" max="17" width="4.42578125" customWidth="1"/>
    <col min="18" max="18" width="3.42578125" customWidth="1"/>
    <col min="19" max="19" width="3" customWidth="1"/>
  </cols>
  <sheetData>
    <row r="1" spans="1:19" s="1" customFormat="1" ht="83.25" customHeight="1" x14ac:dyDescent="0.25">
      <c r="A1" s="1" t="s">
        <v>0</v>
      </c>
      <c r="B1" s="1" t="s">
        <v>4</v>
      </c>
      <c r="C1" s="1" t="s">
        <v>5</v>
      </c>
      <c r="D1" s="4" t="s">
        <v>6</v>
      </c>
      <c r="E1" s="9">
        <v>46048</v>
      </c>
      <c r="F1" s="9">
        <f>E1 + 7</f>
        <v>46055</v>
      </c>
      <c r="G1" s="9">
        <f t="shared" ref="G1:S1" si="0">F1 + 7</f>
        <v>46062</v>
      </c>
      <c r="H1" s="9">
        <f t="shared" si="0"/>
        <v>46069</v>
      </c>
      <c r="I1" s="9">
        <f t="shared" si="0"/>
        <v>46076</v>
      </c>
      <c r="J1" s="9">
        <f t="shared" si="0"/>
        <v>46083</v>
      </c>
      <c r="K1" s="9">
        <f t="shared" si="0"/>
        <v>46090</v>
      </c>
      <c r="L1" s="9">
        <f t="shared" si="0"/>
        <v>46097</v>
      </c>
      <c r="M1" s="9">
        <f t="shared" si="0"/>
        <v>46104</v>
      </c>
      <c r="N1" s="9">
        <f t="shared" si="0"/>
        <v>46111</v>
      </c>
      <c r="O1" s="9">
        <f t="shared" si="0"/>
        <v>46118</v>
      </c>
      <c r="P1" s="9">
        <f t="shared" si="0"/>
        <v>46125</v>
      </c>
      <c r="Q1" s="9">
        <f t="shared" si="0"/>
        <v>46132</v>
      </c>
      <c r="R1" s="9">
        <f t="shared" si="0"/>
        <v>46139</v>
      </c>
      <c r="S1" s="9">
        <f>R1 + 4</f>
        <v>46143</v>
      </c>
    </row>
    <row r="2" spans="1:19" x14ac:dyDescent="0.25">
      <c r="A2" s="2" t="s">
        <v>1</v>
      </c>
      <c r="B2" s="6">
        <v>46048</v>
      </c>
      <c r="C2" s="6">
        <v>46143</v>
      </c>
      <c r="D2" s="7">
        <f>_xlfn.DAYS(C2, B2)</f>
        <v>95</v>
      </c>
      <c r="E2" s="10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spans="1:19" x14ac:dyDescent="0.25">
      <c r="A3" t="s">
        <v>2</v>
      </c>
      <c r="B3" s="3">
        <v>46048</v>
      </c>
      <c r="C3" s="3">
        <v>46055</v>
      </c>
      <c r="D3" s="5">
        <f t="shared" ref="D3:D33" si="1">C3-B3</f>
        <v>7</v>
      </c>
      <c r="E3" s="12"/>
      <c r="F3" s="14"/>
    </row>
    <row r="4" spans="1:19" x14ac:dyDescent="0.25">
      <c r="A4" t="s">
        <v>3</v>
      </c>
      <c r="B4" s="3">
        <v>46048</v>
      </c>
      <c r="C4" s="3">
        <v>46143</v>
      </c>
      <c r="D4" s="5">
        <f t="shared" si="1"/>
        <v>95</v>
      </c>
      <c r="E4" s="12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6" spans="1:19" x14ac:dyDescent="0.25">
      <c r="A6" s="2" t="s">
        <v>7</v>
      </c>
      <c r="B6" s="6">
        <v>46048</v>
      </c>
      <c r="C6" s="6">
        <v>46069</v>
      </c>
      <c r="D6" s="7">
        <f t="shared" si="1"/>
        <v>21</v>
      </c>
      <c r="E6" s="10"/>
      <c r="F6" s="11"/>
      <c r="G6" s="11"/>
      <c r="H6" s="11"/>
    </row>
    <row r="7" spans="1:19" x14ac:dyDescent="0.25">
      <c r="A7" t="s">
        <v>8</v>
      </c>
      <c r="B7" s="3">
        <v>46048</v>
      </c>
      <c r="C7" s="3">
        <v>46055</v>
      </c>
      <c r="D7" s="5">
        <f t="shared" si="1"/>
        <v>7</v>
      </c>
      <c r="E7" s="12"/>
      <c r="F7" s="14"/>
    </row>
    <row r="8" spans="1:19" x14ac:dyDescent="0.25">
      <c r="A8" t="s">
        <v>9</v>
      </c>
      <c r="B8" s="3">
        <v>46055</v>
      </c>
      <c r="C8" s="3">
        <v>46062</v>
      </c>
      <c r="D8" s="5">
        <f t="shared" si="1"/>
        <v>7</v>
      </c>
      <c r="F8" s="13"/>
      <c r="G8" s="14"/>
    </row>
    <row r="9" spans="1:19" x14ac:dyDescent="0.25">
      <c r="A9" t="s">
        <v>18</v>
      </c>
      <c r="B9" s="3">
        <v>46055</v>
      </c>
      <c r="C9" s="3">
        <v>46062</v>
      </c>
      <c r="D9" s="5">
        <f t="shared" si="1"/>
        <v>7</v>
      </c>
      <c r="F9" s="13"/>
      <c r="G9" s="14"/>
    </row>
    <row r="10" spans="1:19" x14ac:dyDescent="0.25">
      <c r="A10" t="s">
        <v>19</v>
      </c>
      <c r="B10" s="3">
        <v>46055</v>
      </c>
      <c r="C10" s="3">
        <v>46062</v>
      </c>
      <c r="D10" s="5">
        <f t="shared" si="1"/>
        <v>7</v>
      </c>
      <c r="F10" s="13"/>
    </row>
    <row r="11" spans="1:19" x14ac:dyDescent="0.25">
      <c r="A11" t="s">
        <v>10</v>
      </c>
      <c r="B11" s="3">
        <v>46062</v>
      </c>
      <c r="C11" s="3">
        <v>46069</v>
      </c>
      <c r="D11" s="5">
        <f t="shared" si="1"/>
        <v>7</v>
      </c>
      <c r="G11" s="13"/>
    </row>
    <row r="12" spans="1:19" x14ac:dyDescent="0.25">
      <c r="A12" s="2" t="s">
        <v>11</v>
      </c>
      <c r="B12" s="6">
        <v>46069</v>
      </c>
      <c r="C12" s="6">
        <v>46090</v>
      </c>
      <c r="D12" s="7">
        <f t="shared" si="1"/>
        <v>21</v>
      </c>
      <c r="H12" s="11"/>
      <c r="I12" s="11"/>
      <c r="J12" s="11"/>
      <c r="K12" s="11"/>
    </row>
    <row r="13" spans="1:19" x14ac:dyDescent="0.25">
      <c r="A13" t="s">
        <v>12</v>
      </c>
      <c r="B13" s="3">
        <v>46069</v>
      </c>
      <c r="C13" s="3">
        <v>46076</v>
      </c>
      <c r="D13" s="5">
        <f t="shared" si="1"/>
        <v>7</v>
      </c>
      <c r="H13" s="13"/>
    </row>
    <row r="14" spans="1:19" x14ac:dyDescent="0.25">
      <c r="A14" t="s">
        <v>13</v>
      </c>
      <c r="B14" s="3">
        <v>46076</v>
      </c>
      <c r="C14" s="3">
        <v>46083</v>
      </c>
      <c r="D14" s="5">
        <f t="shared" si="1"/>
        <v>7</v>
      </c>
      <c r="I14" s="13"/>
    </row>
    <row r="15" spans="1:19" x14ac:dyDescent="0.25">
      <c r="A15" t="s">
        <v>20</v>
      </c>
      <c r="B15" s="3">
        <v>46076</v>
      </c>
      <c r="C15" s="3">
        <v>46083</v>
      </c>
      <c r="D15" s="5">
        <f t="shared" si="1"/>
        <v>7</v>
      </c>
      <c r="I15" s="13"/>
    </row>
    <row r="16" spans="1:19" x14ac:dyDescent="0.25">
      <c r="A16" t="s">
        <v>21</v>
      </c>
      <c r="B16" s="3">
        <v>46076</v>
      </c>
      <c r="C16" s="3">
        <v>46083</v>
      </c>
      <c r="D16" s="5">
        <f t="shared" si="1"/>
        <v>7</v>
      </c>
      <c r="I16" s="13"/>
    </row>
    <row r="17" spans="1:19" x14ac:dyDescent="0.25">
      <c r="A17" t="s">
        <v>10</v>
      </c>
      <c r="B17" s="3">
        <v>46083</v>
      </c>
      <c r="C17" s="3">
        <v>46090</v>
      </c>
      <c r="D17" s="5">
        <f t="shared" si="1"/>
        <v>7</v>
      </c>
      <c r="J17" s="13"/>
    </row>
    <row r="18" spans="1:19" x14ac:dyDescent="0.25">
      <c r="A18" s="2" t="s">
        <v>14</v>
      </c>
      <c r="B18" s="6">
        <v>46090</v>
      </c>
      <c r="C18" s="6">
        <v>46125</v>
      </c>
      <c r="D18" s="7">
        <f t="shared" si="1"/>
        <v>35</v>
      </c>
      <c r="K18" s="11"/>
      <c r="L18" s="11"/>
      <c r="M18" s="11"/>
      <c r="N18" s="11"/>
      <c r="O18" s="11"/>
      <c r="P18" s="11"/>
    </row>
    <row r="19" spans="1:19" x14ac:dyDescent="0.25">
      <c r="A19" t="s">
        <v>15</v>
      </c>
      <c r="B19" s="3">
        <v>46090</v>
      </c>
      <c r="C19" s="3">
        <v>46097</v>
      </c>
      <c r="D19" s="5">
        <f t="shared" si="1"/>
        <v>7</v>
      </c>
      <c r="K19" s="13"/>
    </row>
    <row r="20" spans="1:19" x14ac:dyDescent="0.25">
      <c r="A20" t="s">
        <v>16</v>
      </c>
      <c r="B20" s="3">
        <v>46097</v>
      </c>
      <c r="C20" s="3">
        <v>46104</v>
      </c>
      <c r="D20" s="5">
        <f t="shared" si="1"/>
        <v>7</v>
      </c>
      <c r="L20" s="13"/>
    </row>
    <row r="21" spans="1:19" x14ac:dyDescent="0.25">
      <c r="A21" t="s">
        <v>17</v>
      </c>
      <c r="B21" s="3">
        <v>46104</v>
      </c>
      <c r="C21" s="3">
        <v>46118</v>
      </c>
      <c r="D21" s="5">
        <f t="shared" si="1"/>
        <v>14</v>
      </c>
      <c r="M21" s="13"/>
      <c r="N21" s="13"/>
    </row>
    <row r="22" spans="1:19" x14ac:dyDescent="0.25">
      <c r="A22" t="s">
        <v>20</v>
      </c>
      <c r="B22" s="3">
        <v>46104</v>
      </c>
      <c r="C22" s="3">
        <v>46118</v>
      </c>
      <c r="D22" s="5">
        <f t="shared" si="1"/>
        <v>14</v>
      </c>
      <c r="M22" s="13"/>
      <c r="N22" s="13"/>
    </row>
    <row r="23" spans="1:19" x14ac:dyDescent="0.25">
      <c r="A23" t="s">
        <v>19</v>
      </c>
      <c r="B23" s="3">
        <v>46104</v>
      </c>
      <c r="C23" s="3">
        <v>46118</v>
      </c>
      <c r="D23" s="5">
        <f t="shared" si="1"/>
        <v>14</v>
      </c>
      <c r="M23" s="13"/>
      <c r="N23" s="13"/>
    </row>
    <row r="24" spans="1:19" x14ac:dyDescent="0.25">
      <c r="A24" t="s">
        <v>10</v>
      </c>
      <c r="B24" s="3">
        <v>46118</v>
      </c>
      <c r="C24" s="3">
        <v>46125</v>
      </c>
      <c r="D24" s="5">
        <f t="shared" si="1"/>
        <v>7</v>
      </c>
      <c r="O24" s="13"/>
    </row>
    <row r="25" spans="1:19" x14ac:dyDescent="0.25">
      <c r="A25" s="2" t="s">
        <v>22</v>
      </c>
      <c r="B25" s="6">
        <v>46125</v>
      </c>
      <c r="C25" s="6">
        <v>46143</v>
      </c>
      <c r="D25" s="7">
        <f t="shared" si="1"/>
        <v>18</v>
      </c>
      <c r="P25" s="11"/>
      <c r="Q25" s="11"/>
      <c r="R25" s="11"/>
      <c r="S25" s="11"/>
    </row>
    <row r="26" spans="1:19" x14ac:dyDescent="0.25">
      <c r="A26" t="s">
        <v>23</v>
      </c>
      <c r="B26" s="3">
        <v>46125</v>
      </c>
      <c r="C26" s="3">
        <v>46129</v>
      </c>
      <c r="D26" s="5">
        <f t="shared" si="1"/>
        <v>4</v>
      </c>
      <c r="P26" s="13"/>
    </row>
    <row r="27" spans="1:19" x14ac:dyDescent="0.25">
      <c r="A27" t="s">
        <v>24</v>
      </c>
      <c r="B27" s="3">
        <v>46129</v>
      </c>
      <c r="C27" s="3">
        <v>46132</v>
      </c>
      <c r="D27" s="5">
        <f t="shared" si="1"/>
        <v>3</v>
      </c>
      <c r="P27" s="13"/>
    </row>
    <row r="28" spans="1:19" x14ac:dyDescent="0.25">
      <c r="A28" t="s">
        <v>25</v>
      </c>
      <c r="B28" s="3">
        <v>46132</v>
      </c>
      <c r="C28" s="3">
        <v>46136</v>
      </c>
      <c r="D28" s="5">
        <f t="shared" si="1"/>
        <v>4</v>
      </c>
      <c r="Q28" s="13"/>
    </row>
    <row r="29" spans="1:19" x14ac:dyDescent="0.25">
      <c r="A29" t="s">
        <v>26</v>
      </c>
      <c r="B29" s="3">
        <v>46136</v>
      </c>
      <c r="C29" s="3">
        <v>46140</v>
      </c>
      <c r="D29" s="5">
        <f t="shared" si="1"/>
        <v>4</v>
      </c>
      <c r="Q29" s="13"/>
      <c r="R29" s="13"/>
    </row>
    <row r="30" spans="1:19" x14ac:dyDescent="0.25">
      <c r="A30" t="s">
        <v>27</v>
      </c>
      <c r="B30" s="3">
        <v>46140</v>
      </c>
      <c r="C30" s="3">
        <v>46143</v>
      </c>
      <c r="D30" s="5">
        <f t="shared" si="1"/>
        <v>3</v>
      </c>
      <c r="S30" s="1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alskjdflksadfjlkjflsdkaf asjkdlasdjlkfjlskad</dc:creator>
  <cp:lastModifiedBy>alskjdflksadfjlkjflsdkaf asjkdlasdjlkfjlskad</cp:lastModifiedBy>
  <dcterms:created xsi:type="dcterms:W3CDTF">2026-01-26T16:39:43Z</dcterms:created>
  <dcterms:modified xsi:type="dcterms:W3CDTF">2026-01-26T20:55:17Z</dcterms:modified>
</cp:coreProperties>
</file>